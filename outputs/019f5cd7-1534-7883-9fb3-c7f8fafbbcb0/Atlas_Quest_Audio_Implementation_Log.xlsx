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c9d81f5d6e43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nd Inventory" sheetId="1" r:id="R638e7d8e0e744e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 &quot;sec&quot;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045A8D"/>
      <x:name val="Carlito"/>
    </x:font>
    <x:font>
      <x:b/>
      <x:sz val="10"/>
      <x:color rgb="FF0B1F33"/>
      <x:name val="Carlito"/>
    </x:font>
    <x:font>
      <x:b/>
      <x:sz val="12"/>
      <x:color rgb="FF8A3B00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8F5FF"/>
      </x:patternFill>
    </x:fill>
    <x:fill>
      <x:patternFill patternType="solid">
        <x:fgColor rgb="FFDCEEFF"/>
      </x:patternFill>
    </x:fill>
    <x:fill>
      <x:patternFill patternType="solid">
        <x:fgColor rgb="FFFFF1E5"/>
      </x:patternFill>
    </x:fill>
    <x:fill>
      <x:patternFill patternType="solid">
        <x:fgColor rgb="FF00A2FF"/>
      </x:patternFill>
    </x:fill>
  </x:fills>
  <x:borders count="8">
    <x:border/>
    <x:border>
      <x:left style="thin">
        <x:color rgb="FFF0C9A8"/>
      </x:left>
      <x:top style="thin">
        <x:color rgb="FFF0C9A8"/>
      </x:top>
      <x:bottom style="thin">
        <x:color rgb="FFF0C9A8"/>
      </x:bottom>
    </x:border>
    <x:border>
      <x:top style="thin">
        <x:color rgb="FFF0C9A8"/>
      </x:top>
      <x:bottom style="thin">
        <x:color rgb="FFF0C9A8"/>
      </x:bottom>
    </x:border>
    <x:border>
      <x:right style="thin">
        <x:color rgb="FFF0C9A8"/>
      </x:right>
      <x:top style="thin">
        <x:color rgb="FFF0C9A8"/>
      </x:top>
      <x:bottom style="thin">
        <x:color rgb="FFF0C9A8"/>
      </x:bottom>
    </x:border>
    <x:border>
      <x:bottom style="medium">
        <x:color rgb="FF0074B8"/>
      </x:bottom>
    </x:border>
    <x:border>
      <x:bottom style="thin">
        <x:color rgb="FFDDE5EC"/>
      </x:bottom>
    </x:border>
    <x:border>
      <x:top style="thin">
        <x:color rgb="FFDDE5EC"/>
      </x:top>
      <x:bottom style="thin">
        <x:color rgb="FFDDE5EC"/>
      </x:bottom>
    </x:border>
    <x:border>
      <x:top style="thin">
        <x:color rgb="FFDDE5EC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4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horizont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5" xfId="0" applyNumberFormat="1" applyFont="1" applyFill="1" applyBorder="1" applyAlignment="1">
      <x:alignment vertical="top"/>
    </x:xf>
    <x:xf numFmtId="0" fontId="6" fillId="0" borderId="6" xfId="0" applyNumberFormat="1" applyFont="1" applyFill="1" applyBorder="1" applyAlignment="1">
      <x:alignment vertical="top"/>
    </x:xf>
    <x:xf numFmtId="0" fontId="6" fillId="0" borderId="7" xfId="0" applyNumberFormat="1" applyFont="1" applyFill="1" applyBorder="1" applyAlignment="1">
      <x:alignment vertical="top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horizontal="center" vertical="top"/>
    </x:xf>
    <x:xf numFmtId="0" fontId="6" fillId="0" borderId="6" xfId="0" applyNumberFormat="1" applyFont="1" applyFill="1" applyBorder="1" applyAlignment="1">
      <x:alignment horizontal="center" vertical="top"/>
    </x:xf>
    <x:xf numFmtId="0" fontId="6" fillId="0" borderId="7" xfId="0" applyNumberFormat="1" applyFont="1" applyFill="1" applyBorder="1" applyAlignment="1">
      <x:alignment horizontal="center" vertical="top"/>
    </x:xf>
    <x:xf numFmtId="200" fontId="6" fillId="0" borderId="5" xfId="0" applyNumberFormat="1" applyFont="1" applyFill="1" applyBorder="1" applyAlignment="1">
      <x:alignment horizontal="center" vertical="top"/>
    </x:xf>
    <x:xf numFmtId="200" fontId="6" fillId="0" borderId="6" xfId="0" applyNumberFormat="1" applyFont="1" applyFill="1" applyBorder="1" applyAlignment="1">
      <x:alignment horizontal="center" vertical="top"/>
    </x:xf>
    <x:xf numFmtId="200" fontId="6" fillId="0" borderId="7" xfId="0" applyNumberFormat="1" applyFont="1" applyFill="1" applyBorder="1" applyAlignment="1">
      <x:alignment horizontal="center" vertical="top"/>
    </x:xf>
    <x:xf numFmtId="200" fontId="4" fillId="5" borderId="2" xfId="0" applyNumberFormat="1" applyFont="1" applyFill="1" applyBorder="1" applyAlignment="1">
      <x:alignment horizontal="center" vertical="center"/>
    </x:xf>
    <x:xf numFmtId="0" fontId="6" fillId="0" xfId="0" applyNumberFormat="1" applyFont="1" applyFill="1" applyBorder="0"/>
    <x:xf numFmtId="0" fontId="6" fillId="0" xfId="0" applyNumberFormat="1" applyFont="1" applyFill="1" applyBorder="0" applyAlignment="1">
      <x:alignment vertical="top"/>
    </x:xf>
    <x:xf numFmtId="0" fontId="6" fillId="0" xfId="0" applyNumberFormat="1" applyFont="1" applyFill="1" applyBorder="0" applyAlignment="1">
      <x:alignment vertical="top" wrapText="1"/>
    </x:xf>
    <x:xf numFmtId="0" fontId="6" fillId="0" xfId="0" applyNumberFormat="1" applyFont="1" applyFill="1" applyBorder="0" applyAlignment="1">
      <x:alignment horizontal="center" vertical="top"/>
    </x:xf>
    <x:xf numFmtId="200" fontId="6" fillId="0" xfId="0" applyNumberFormat="1" applyFont="1" applyFill="1" applyBorder="0" applyAlignment="1">
      <x:alignment horizontal="center" vertical="top"/>
    </x:xf>
  </x:cellXfs>
  <x:cellStyles count="1">
    <x:cellStyle name="Normal" xfId="0"/>
  </x:cellStyles>
  <x:dxfs count="6">
    <x:dxf>
      <x:font>
        <x:b/>
        <x:color rgb="FF176B45"/>
      </x:font>
      <x:fill>
        <x:patternFill>
          <x:bgColor rgb="FFD9F7E8"/>
        </x:patternFill>
      </x:fill>
    </x:dxf>
    <x:dxf>
      <x:font>
        <x:color rgb="FF52606D"/>
      </x:font>
      <x:fill>
        <x:patternFill>
          <x:bgColor rgb="FFF1F4F7"/>
        </x:patternFill>
      </x:fill>
    </x:dxf>
    <x:dxf>
      <x:font>
        <x:b/>
        <x:color rgb="FF176B45"/>
      </x:font>
      <x:fill>
        <x:patternFill>
          <x:bgColor rgb="FFD9F7E8"/>
        </x:patternFill>
      </x:fill>
    </x:dxf>
    <x:dxf>
      <x:font>
        <x:color rgb="FF52606D"/>
      </x:font>
      <x:fill>
        <x:patternFill>
          <x:bgColor rgb="FFF1F4F7"/>
        </x:patternFill>
      </x:fill>
    </x:dxf>
    <x:dxf>
      <x:font>
        <x:b/>
        <x:color rgb="FF176B45"/>
      </x:font>
      <x:fill>
        <x:patternFill patternType="solid">
          <x:bgColor rgb="FFD9F7E8"/>
        </x:patternFill>
      </x:fill>
    </x:dxf>
    <x:dxf>
      <x:font>
        <x:color rgb="FF52606D"/>
      </x:font>
      <x:fill>
        <x:patternFill patternType="solid">
          <x:bgColor rgb="FFF1F4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51ffe96a98467e" /><Relationship Type="http://schemas.openxmlformats.org/officeDocument/2006/relationships/theme" Target="/xl/theme/theme1.xml" Id="Ra6e524f3b3a24c71" /><Relationship Type="http://schemas.openxmlformats.org/officeDocument/2006/relationships/sharedStrings" Target="/xl/sharedStrings.xml" Id="R80a4cacbf02343f8" /><Relationship Type="http://schemas.openxmlformats.org/officeDocument/2006/relationships/worksheet" Target="/xl/worksheets/sheet1.xml" Id="R638e7d8e0e744ed7" /></Relationships>
</file>

<file path=xl/tables/table1.xml><?xml version="1.0" encoding="utf-8"?>
<x:table xmlns:x="http://schemas.openxmlformats.org/spreadsheetml/2006/main" id="1" name="SoundInventoryTable" displayName="SoundInventoryTable" ref="A7:J17" headerRowCount="1" totalsRowCount="0" totalsRowShown="0">
  <x:autoFilter ref="A7:J17"/>
  <x:tableColumns count="10">
    <x:tableColumn id="1" name="Location"/>
    <x:tableColumn id="2" name="Element"/>
    <x:tableColumn id="3" name="Interaction type"/>
    <x:tableColumn id="4" name="File name"/>
    <x:tableColumn id="5" name="Repository path"/>
    <x:tableColumn id="6" name="Format"/>
    <x:tableColumn id="7" name="Length (seconds)"/>
    <x:tableColumn id="8" name="Loops?"/>
    <x:tableColumn id="9" name="Playback behavior"/>
    <x:tableColumn id="10" name="Implementation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b37806e9ff41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20000267028809" hidden="0" customWidth="1"/>
    <x:col min="2" max="2" width="14.4399995803833" hidden="0" customWidth="1"/>
    <x:col min="3" max="3" width="18.329999923706055" hidden="0" customWidth="1"/>
    <x:col min="4" max="4" width="27.219999313354492" hidden="0" customWidth="1"/>
    <x:col min="5" max="5" width="31.670000076293945" hidden="0" customWidth="1"/>
    <x:col min="6" max="6" width="7.21999979019165" hidden="0" customWidth="1"/>
    <x:col min="7" max="7" width="11.329999923706055" hidden="0" customWidth="1"/>
    <x:col min="8" max="8" width="8" hidden="0" customWidth="1"/>
    <x:col min="9" max="9" width="19.440000534057617" hidden="0" customWidth="1"/>
    <x:col min="10" max="10" width="43.33000183105469" hidden="0" customWidth="1"/>
  </x:cols>
  <x:sheetData>
    <x:row r="1" ht="27" customHeight="1">
      <x:c r="A1" s="3" t="str">
        <x:v>Atlas Quest — Implemented Sound Inventory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9.5" customHeight="1">
      <x:c r="A2" s="6" t="str">
        <x:v>Implementation notes: Implemented activity and map hovers; refreshed the Quest Room; applied activity logic to both cards; added Map open and close sounds.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19.5" customHeight="1">
      <x:c r="A4" s="10" t="str">
        <x:v>Total sounds</x:v>
      </x:c>
      <x:c r="B4" s="10"/>
      <x:c r="C4" s="10" t="str">
        <x:v>Looping</x:v>
      </x:c>
      <x:c r="D4" s="10"/>
      <x:c r="E4" s="10" t="str">
        <x:v>Non-looping</x:v>
      </x:c>
      <x:c r="F4" s="10"/>
      <x:c r="G4" s="10" t="str">
        <x:v>Combined source length</x:v>
      </x:c>
      <x:c r="H4" s="10"/>
      <x:c r="I4" s="10" t="str">
        <x:v>Inventory scope</x:v>
      </x:c>
      <x:c r="J4" s="10"/>
    </x:row>
    <x:row r="5" ht="19.5" customHeight="1">
      <x:c r="A5" s="19" t="n">
        <x:f>COUNTA(D8:D17)</x:f>
        <x:v>10</x:v>
      </x:c>
      <x:c r="B5" s="20"/>
      <x:c r="C5" s="20" t="n">
        <x:f>COUNTIF(H8:H17,"Yes")</x:f>
        <x:v>1</x:v>
      </x:c>
      <x:c r="D5" s="20"/>
      <x:c r="E5" s="20" t="n">
        <x:f>COUNTIF(H8:H17,"No")</x:f>
        <x:v>9</x:v>
      </x:c>
      <x:c r="F5" s="20"/>
      <x:c r="G5" s="44" t="n">
        <x:f>SUM(G8:G17)</x:f>
        <x:v>21.878</x:v>
      </x:c>
      <x:c r="H5" s="44"/>
      <x:c r="I5" s="20" t="str">
        <x:v>Quest Map + Quest Room</x:v>
      </x:c>
      <x:c r="J5" s="21"/>
    </x:row>
    <x:row r="7" ht="25.5" customHeight="1">
      <x:c r="A7" s="27" t="str">
        <x:v>Location</x:v>
      </x:c>
      <x:c r="B7" s="27" t="str">
        <x:v>Element</x:v>
      </x:c>
      <x:c r="C7" s="27" t="str">
        <x:v>Interaction type</x:v>
      </x:c>
      <x:c r="D7" s="27" t="str">
        <x:v>File name</x:v>
      </x:c>
      <x:c r="E7" s="27" t="str">
        <x:v>Repository path</x:v>
      </x:c>
      <x:c r="F7" s="27" t="str">
        <x:v>Format</x:v>
      </x:c>
      <x:c r="G7" s="27" t="str">
        <x:v>Length (seconds)</x:v>
      </x:c>
      <x:c r="H7" s="27" t="str">
        <x:v>Loops?</x:v>
      </x:c>
      <x:c r="I7" s="27" t="str">
        <x:v>Playback behavior</x:v>
      </x:c>
      <x:c r="J7" s="27" t="str">
        <x:v>Implementation notes</x:v>
      </x:c>
    </x:row>
    <x:row r="8" ht="54" customHeight="1">
      <x:c r="A8" s="32" t="str">
        <x:v>Quest Map</x:v>
      </x:c>
      <x:c r="B8" s="32" t="str">
        <x:v>Large topic circles</x:v>
      </x:c>
      <x:c r="C8" s="35" t="str">
        <x:v>Pointer enter</x:v>
      </x:c>
      <x:c r="D8" s="35" t="str">
        <x:v>AQ_GP_Large_Circle_IN.mp3</x:v>
      </x:c>
      <x:c r="E8" s="35" t="str">
        <x:v>audio/game-play-sfx/AQ_GP_Large_Circle_IN.mp3</x:v>
      </x:c>
      <x:c r="F8" s="38" t="str">
        <x:v>MP3</x:v>
      </x:c>
      <x:c r="G8" s="41" t="n">
        <x:v>0.576</x:v>
      </x:c>
      <x:c r="H8" s="38" t="str">
        <x:v>No</x:v>
      </x:c>
      <x:c r="I8" s="35" t="str">
        <x:v>Natural completion; overlap allowed</x:v>
      </x:c>
      <x:c r="J8" s="35" t="str">
        <x:v>A fresh cloned audio instance plays to completion. The trigger is suppressed when the related element is one of the 17 small-circle hotspots, preventing duplicate transition sounds.</x:v>
      </x:c>
    </x:row>
    <x:row r="9" ht="54" customHeight="1">
      <x:c r="A9" s="33" t="str">
        <x:v>Quest Map</x:v>
      </x:c>
      <x:c r="B9" s="33" t="str">
        <x:v>Large topic circles</x:v>
      </x:c>
      <x:c r="C9" s="36" t="str">
        <x:v>Pointer leave</x:v>
      </x:c>
      <x:c r="D9" s="36" t="str">
        <x:v>AQ_GP_Large_Circle_OUT.mp3</x:v>
      </x:c>
      <x:c r="E9" s="36" t="str">
        <x:v>audio/game-play-sfx/AQ_GP_Large_Circle_OUT.mp3</x:v>
      </x:c>
      <x:c r="F9" s="39" t="str">
        <x:v>MP3</x:v>
      </x:c>
      <x:c r="G9" s="42" t="n">
        <x:v>0.288</x:v>
      </x:c>
      <x:c r="H9" s="39" t="str">
        <x:v>No</x:v>
      </x:c>
      <x:c r="I9" s="36" t="str">
        <x:v>Natural completion; overlap allowed</x:v>
      </x:c>
      <x:c r="J9" s="36" t="str">
        <x:v>A fresh cloned audio instance plays to completion. The trigger is suppressed when the cursor moves directly to one of the 17 small-circle hotspots.</x:v>
      </x:c>
    </x:row>
    <x:row r="10" ht="54" customHeight="1">
      <x:c r="A10" s="33" t="str">
        <x:v>Quest Map</x:v>
      </x:c>
      <x:c r="B10" s="33" t="str">
        <x:v>17 small circles</x:v>
      </x:c>
      <x:c r="C10" s="36" t="str">
        <x:v>Pointer enter and pointer leave</x:v>
      </x:c>
      <x:c r="D10" s="36" t="str">
        <x:v>AQ_UI_Small_Map_Hover.mp3</x:v>
      </x:c>
      <x:c r="E10" s="36" t="str">
        <x:v>audio/ui-sfx/AQ_UI_Small_Map_Hover.mp3</x:v>
      </x:c>
      <x:c r="F10" s="39" t="str">
        <x:v>MP3</x:v>
      </x:c>
      <x:c r="G10" s="42" t="n">
        <x:v>0.696</x:v>
      </x:c>
      <x:c r="H10" s="39" t="str">
        <x:v>No</x:v>
      </x:c>
      <x:c r="I10" s="36" t="str">
        <x:v>Natural completion; overlap allowed</x:v>
      </x:c>
      <x:c r="J10" s="36" t="str">
        <x:v>The same sound plays on both entry and exit. Every trigger creates an independent audio instance; sounds are not stopped or faded and may overlap.</x:v>
      </x:c>
    </x:row>
    <x:row r="11" ht="54" customHeight="1">
      <x:c r="A11" s="33" t="str">
        <x:v>Quest Room</x:v>
      </x:c>
      <x:c r="B11" s="33" t="str">
        <x:v>Orange portals</x:v>
      </x:c>
      <x:c r="C11" s="36" t="str">
        <x:v>Pointer hover</x:v>
      </x:c>
      <x:c r="D11" s="36" t="str">
        <x:v>AQ_GP_Portal_Hover.mp3</x:v>
      </x:c>
      <x:c r="E11" s="36" t="str">
        <x:v>audio/game-play-sfx/AQ_GP_Portal_Hover.mp3</x:v>
      </x:c>
      <x:c r="F11" s="39" t="str">
        <x:v>MP3</x:v>
      </x:c>
      <x:c r="G11" s="42" t="n">
        <x:v>11.232</x:v>
      </x:c>
      <x:c r="H11" s="39" t="str">
        <x:v>Yes</x:v>
      </x:c>
      <x:c r="I11" s="36" t="str">
        <x:v>Single looping element with fade-out</x:v>
      </x:c>
      <x:c r="J11" s="36" t="str">
        <x:v>Starts at full volume and loops while hovered. On leave, pointer cancel, pointer down, or click, it fades to zero over 1 second, pauses, and resets. Hover also changes the portal border to Portal2 blue.</x:v>
      </x:c>
    </x:row>
    <x:row r="12" ht="54" customHeight="1">
      <x:c r="A12" s="33" t="str">
        <x:v>Quest Room</x:v>
      </x:c>
      <x:c r="B12" s="33" t="str">
        <x:v>Orange portals</x:v>
      </x:c>
      <x:c r="C12" s="36" t="str">
        <x:v>Click</x:v>
      </x:c>
      <x:c r="D12" s="36" t="str">
        <x:v>AQ_GP_Traverse_Portal_.mp3</x:v>
      </x:c>
      <x:c r="E12" s="36" t="str">
        <x:v>audio/game-play-sfx/AQ_GP_Traverse_Portal_.mp3</x:v>
      </x:c>
      <x:c r="F12" s="39" t="str">
        <x:v>MP3</x:v>
      </x:c>
      <x:c r="G12" s="42" t="n">
        <x:v>4.032</x:v>
      </x:c>
      <x:c r="H12" s="39" t="str">
        <x:v>No</x:v>
      </x:c>
      <x:c r="I12" s="36" t="str">
        <x:v>Restart from beginning</x:v>
      </x:c>
      <x:c r="J12" s="36" t="str">
        <x:v>Click begins the portal-hover fade-out and starts the traversal sound from the beginning. A later click restarts the same traversal audio element.</x:v>
      </x:c>
    </x:row>
    <x:row r="13" ht="54" customHeight="1">
      <x:c r="A13" s="33" t="str">
        <x:v>Quest Room</x:v>
      </x:c>
      <x:c r="B13" s="36" t="str">
        <x:v>Remember + Understand activities</x:v>
      </x:c>
      <x:c r="C13" s="36" t="str">
        <x:v>Click</x:v>
      </x:c>
      <x:c r="D13" s="36" t="str">
        <x:v>AQ_UI_Activity Open.mp3</x:v>
      </x:c>
      <x:c r="E13" s="36" t="str">
        <x:v>audio/ui-sfx/AQ_UI_Activity Open.mp3</x:v>
      </x:c>
      <x:c r="F13" s="39" t="str">
        <x:v>MP3</x:v>
      </x:c>
      <x:c r="G13" s="42" t="n">
        <x:v>0.744</x:v>
      </x:c>
      <x:c r="H13" s="39" t="str">
        <x:v>No</x:v>
      </x:c>
      <x:c r="I13" s="36" t="str">
        <x:v>Restart from beginning</x:v>
      </x:c>
      <x:c r="J13" s="36" t="str">
        <x:v>Plays on click for either activity card, simultaneously with AQ_UI_Activity_and_Medium_Map_Hover.mp3. A later click restarts this activity-open audio element.</x:v>
      </x:c>
    </x:row>
    <x:row r="14" ht="54" customHeight="1">
      <x:c r="A14" s="33" t="str">
        <x:v>Quest Room</x:v>
      </x:c>
      <x:c r="B14" s="36" t="str">
        <x:v>Remember + Understand activities</x:v>
      </x:c>
      <x:c r="C14" s="36" t="str">
        <x:v>Pointer enter and click companion</x:v>
      </x:c>
      <x:c r="D14" s="36" t="str">
        <x:v>AQ_UI_Activity_and_Medium_Map_Hover.mp3</x:v>
      </x:c>
      <x:c r="E14" s="36" t="str">
        <x:v>audio/ui-sfx/AQ_UI_Activity_and_Medium_Map_Hover.mp3</x:v>
      </x:c>
      <x:c r="F14" s="39" t="str">
        <x:v>MP3</x:v>
      </x:c>
      <x:c r="G14" s="42" t="n">
        <x:v>1.416</x:v>
      </x:c>
      <x:c r="H14" s="39" t="str">
        <x:v>No</x:v>
      </x:c>
      <x:c r="I14" s="36" t="str">
        <x:v>Natural completion; overlap allowed</x:v>
      </x:c>
      <x:c r="J14" s="36" t="str">
        <x:v>A fresh audio instance plays when entering either activity card and also alongside the activity-open sound on click. Each instance plays fully and may overlap other sounds.</x:v>
      </x:c>
    </x:row>
    <x:row r="15" ht="54" customHeight="1">
      <x:c r="A15" s="34" t="str">
        <x:v>Quest Room</x:v>
      </x:c>
      <x:c r="B15" s="37" t="str">
        <x:v>Remember + Understand activities</x:v>
      </x:c>
      <x:c r="C15" s="37" t="str">
        <x:v>Pointer leave</x:v>
      </x:c>
      <x:c r="D15" s="37" t="str">
        <x:v>AQ_UI_Unlocked_Activity_OUT.wav</x:v>
      </x:c>
      <x:c r="E15" s="37" t="str">
        <x:v>audio/ui-sfx/AQ_UI_Unlocked_Activity_OUT.wav</x:v>
      </x:c>
      <x:c r="F15" s="40" t="str">
        <x:v>WAV</x:v>
      </x:c>
      <x:c r="G15" s="43" t="n">
        <x:v>0.854</x:v>
      </x:c>
      <x:c r="H15" s="40" t="str">
        <x:v>No</x:v>
      </x:c>
      <x:c r="I15" s="37" t="str">
        <x:v>Natural completion; overlap allowed</x:v>
      </x:c>
      <x:c r="J15" s="37" t="str">
        <x:v>A fresh audio instance plays when the cursor leaves either activity card. It is allowed to finish naturally and may overlap with other activity sounds.</x:v>
      </x:c>
    </x:row>
    <x:row r="16" ht="54" customHeight="1">
      <x:c r="A16" s="46" t="str">
        <x:v>Quest Room</x:v>
      </x:c>
      <x:c r="B16" s="47" t="str">
        <x:v>Top-right Map control</x:v>
      </x:c>
      <x:c r="C16" s="47" t="str">
        <x:v>Click / selection</x:v>
      </x:c>
      <x:c r="D16" s="47" t="str">
        <x:v>AQ_UI_Map_Open.mp3</x:v>
      </x:c>
      <x:c r="E16" s="47" t="str">
        <x:v>audio/ui-sfx/AQ_UI_Map_Open.mp3</x:v>
      </x:c>
      <x:c r="F16" s="48" t="str">
        <x:v>MP3</x:v>
      </x:c>
      <x:c r="G16" s="49" t="n">
        <x:v>1.248</x:v>
      </x:c>
      <x:c r="H16" s="48" t="str">
        <x:v>No</x:v>
      </x:c>
      <x:c r="I16" s="47" t="str">
        <x:v>Natural completion; overlap allowed</x:v>
      </x:c>
      <x:c r="J16" s="47" t="str">
        <x:v>A transparent hotspot over the top-right Map button plays an independent audio instance and switches the viewer to the Quest Map. Each activation plays fully and may overlap other sounds.</x:v>
      </x:c>
    </x:row>
    <x:row r="17" ht="54" customHeight="1">
      <x:c r="A17" s="46" t="str">
        <x:v>Quest Map</x:v>
      </x:c>
      <x:c r="B17" s="47" t="str">
        <x:v>Top-right X control</x:v>
      </x:c>
      <x:c r="C17" s="47" t="str">
        <x:v>Click / selection</x:v>
      </x:c>
      <x:c r="D17" s="47" t="str">
        <x:v>AQ_UI_Map_Close.mp3</x:v>
      </x:c>
      <x:c r="E17" s="47" t="str">
        <x:v>audio/ui-sfx/AQ_UI_Map_Close.mp3</x:v>
      </x:c>
      <x:c r="F17" s="48" t="str">
        <x:v>MP3</x:v>
      </x:c>
      <x:c r="G17" s="49" t="n">
        <x:v>0.792</x:v>
      </x:c>
      <x:c r="H17" s="48" t="str">
        <x:v>No</x:v>
      </x:c>
      <x:c r="I17" s="47" t="str">
        <x:v>Natural completion; overlap allowed</x:v>
      </x:c>
      <x:c r="J17" s="47" t="str">
        <x:v>A transparent hotspot over the map's top-right X plays an independent audio instance and switches the viewer to the refreshed Quest Room. Each activation plays fully and may overlap other sounds.</x:v>
      </x:c>
    </x:row>
  </x:sheetData>
  <x:mergeCells>
    <x:mergeCell ref="A1:J1"/>
    <x:mergeCell ref="A2:J2"/>
    <x:mergeCell ref="A4:B4"/>
    <x:mergeCell ref="A5:B5"/>
    <x:mergeCell ref="C4:D4"/>
    <x:mergeCell ref="C5:D5"/>
    <x:mergeCell ref="E4:F4"/>
    <x:mergeCell ref="E5:F5"/>
    <x:mergeCell ref="G4:H4"/>
    <x:mergeCell ref="G5:H5"/>
    <x:mergeCell ref="I4:J4"/>
    <x:mergeCell ref="I5:J5"/>
  </x:mergeCells>
  <x:conditionalFormatting sqref="H8:H15">
    <x:cfRule type="containsText" dxfId="0" priority="1" operator="containsText" text="Yes"/>
    <x:cfRule type="containsText" dxfId="1" priority="2" operator="containsText" text="No"/>
  </x:conditionalFormatting>
  <x:conditionalFormatting sqref="H16:H16">
    <x:cfRule type="containsText" dxfId="2" priority="3" operator="containsText" text="Yes"/>
    <x:cfRule type="containsText" dxfId="3" priority="4" operator="containsText" text="No"/>
  </x:conditionalFormatting>
  <x:conditionalFormatting sqref="H17:H17">
    <x:cfRule type="containsText" dxfId="4" priority="5" operator="containsText" text="Yes"/>
    <x:cfRule type="containsText" dxfId="5" priority="6" operator="containsText" text="No"/>
  </x:conditionalFormatting>
  <x:dataValidations count="3">
    <x:dataValidation type="list" sqref="H8:H15">
      <x:formula1>"Yes,No"</x:formula1>
    </x:dataValidation>
    <x:dataValidation type="list" sqref="H16">
      <x:formula1>"Yes,No"</x:formula1>
    </x:dataValidation>
    <x:dataValidation type="list" sqref="H17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b37806e9ff41f1"/>
  </x:tableParts>
</x:worksheet>
</file>